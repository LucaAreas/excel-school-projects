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activeTab="1"/>
  </bookViews>
  <sheets>
    <sheet name="CONTRIBUIÇÃO" sheetId="3" r:id="rId1"/>
    <sheet name="SALÁRIO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2"/>
  <c r="E11"/>
  <c r="D11"/>
  <c r="C11"/>
  <c r="B11"/>
  <c r="G11"/>
  <c r="G2"/>
  <c r="G9"/>
  <c r="G8"/>
  <c r="G7"/>
  <c r="G6"/>
  <c r="G5"/>
  <c r="G4"/>
  <c r="G3"/>
  <c r="F9"/>
  <c r="F8"/>
  <c r="F7"/>
  <c r="F6"/>
  <c r="F5"/>
  <c r="F4"/>
  <c r="E9"/>
  <c r="E8"/>
  <c r="E7"/>
  <c r="E6"/>
  <c r="E5"/>
  <c r="E4"/>
  <c r="D9"/>
  <c r="D8"/>
  <c r="D7"/>
  <c r="D6"/>
  <c r="D5"/>
  <c r="D4"/>
  <c r="C9"/>
  <c r="C8"/>
  <c r="C7"/>
  <c r="C6"/>
  <c r="C5"/>
  <c r="C4"/>
  <c r="F3"/>
  <c r="E3"/>
  <c r="D3"/>
  <c r="C3"/>
  <c r="F2"/>
  <c r="E2"/>
  <c r="D2"/>
  <c r="C2"/>
  <c r="B14" i="3"/>
  <c r="B15" s="1"/>
  <c r="B10"/>
  <c r="B11" s="1"/>
</calcChain>
</file>

<file path=xl/sharedStrings.xml><?xml version="1.0" encoding="utf-8"?>
<sst xmlns="http://schemas.openxmlformats.org/spreadsheetml/2006/main" count="30" uniqueCount="30">
  <si>
    <t>NOME DO FUNCIONÁRIO</t>
  </si>
  <si>
    <t>Ana Oliveira</t>
  </si>
  <si>
    <t>Zelmar Almeida</t>
  </si>
  <si>
    <t>Selma Parma</t>
  </si>
  <si>
    <t>Carlos Adolfo</t>
  </si>
  <si>
    <t>Maria da Silva</t>
  </si>
  <si>
    <t>João Francisco</t>
  </si>
  <si>
    <t>Alan Moraes</t>
  </si>
  <si>
    <t>Jonas Lito</t>
  </si>
  <si>
    <t>SALÁRIO BRUTO</t>
  </si>
  <si>
    <t>FGTS</t>
  </si>
  <si>
    <t>INSS</t>
  </si>
  <si>
    <t>IRRF</t>
  </si>
  <si>
    <t>VALE TRANSPORTE</t>
  </si>
  <si>
    <t>SALÁRIO LÍQUIDO</t>
  </si>
  <si>
    <t>TOTAIS</t>
  </si>
  <si>
    <t>Funcionário</t>
  </si>
  <si>
    <t>Salário</t>
  </si>
  <si>
    <t>Contribuição</t>
  </si>
  <si>
    <t>Júlio Santos</t>
  </si>
  <si>
    <t>Suzana Vieira</t>
  </si>
  <si>
    <t>Ana Paula Padrão</t>
  </si>
  <si>
    <t>Romualdo Castro</t>
  </si>
  <si>
    <t>Osmar Padro</t>
  </si>
  <si>
    <t>Total Salários:</t>
  </si>
  <si>
    <t>Média Salários:</t>
  </si>
  <si>
    <t>Maior Salário:</t>
  </si>
  <si>
    <t>Menor Salário:</t>
  </si>
  <si>
    <t>Total de Contribuições:</t>
  </si>
  <si>
    <t>Média de Contribuições:</t>
  </si>
</sst>
</file>

<file path=xl/styles.xml><?xml version="1.0" encoding="utf-8"?>
<styleSheet xmlns="http://schemas.openxmlformats.org/spreadsheetml/2006/main">
  <numFmts count="4">
    <numFmt numFmtId="164" formatCode="_-* #,##0.00\ &quot;€&quot;_-;\-* #,##0.00\ &quot;€&quot;_-;_-* &quot;-&quot;??\ &quot;€&quot;_-;_-@_-"/>
    <numFmt numFmtId="165" formatCode="_(* #,##0.00_);_(* \(#,##0.00\);_(* &quot;-&quot;??_);_(@_)"/>
    <numFmt numFmtId="166" formatCode="_-[$R$-416]\ * #,##0.00_-;\-[$R$-416]\ * #,##0.00_-;_-[$R$-416]\ * &quot;-&quot;??_-;_-@_-"/>
    <numFmt numFmtId="167" formatCode="[$R$-416]\ #,##0.00;\-[$R$-416]\ 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u/>
      <sz val="13"/>
      <name val="futura"/>
    </font>
    <font>
      <u/>
      <sz val="13"/>
      <name val="futura"/>
    </font>
    <font>
      <sz val="9"/>
      <name val="Arial"/>
      <family val="2"/>
    </font>
    <font>
      <sz val="8"/>
      <name val="Arial"/>
      <family val="2"/>
    </font>
    <font>
      <sz val="22"/>
      <color theme="1"/>
      <name val="Calibri"/>
      <family val="2"/>
      <scheme val="minor"/>
    </font>
    <font>
      <sz val="20"/>
      <color indexed="48"/>
      <name val="Arial"/>
      <family val="2"/>
    </font>
    <font>
      <sz val="20"/>
      <color theme="1"/>
      <name val="Calibri"/>
      <family val="2"/>
      <scheme val="minor"/>
    </font>
    <font>
      <b/>
      <sz val="18"/>
      <name val="Arial"/>
      <family val="2"/>
    </font>
    <font>
      <sz val="18"/>
      <color theme="1"/>
      <name val="Calibri"/>
      <family val="2"/>
      <scheme val="minor"/>
    </font>
    <font>
      <sz val="18"/>
      <name val="Arial"/>
      <family val="2"/>
    </font>
    <font>
      <sz val="18"/>
      <color indexed="48"/>
      <name val="Arial"/>
      <family val="2"/>
    </font>
    <font>
      <sz val="20"/>
      <name val="Arial"/>
      <family val="2"/>
    </font>
    <font>
      <b/>
      <i/>
      <sz val="18"/>
      <name val="Arial"/>
      <family val="2"/>
    </font>
    <font>
      <b/>
      <sz val="20"/>
      <color theme="4"/>
      <name val="Calibri"/>
      <family val="2"/>
      <scheme val="minor"/>
    </font>
    <font>
      <b/>
      <i/>
      <sz val="20"/>
      <name val="Arial"/>
      <family val="2"/>
    </font>
    <font>
      <u val="singleAccounting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5" fillId="0" borderId="0" xfId="0" applyFont="1"/>
    <xf numFmtId="0" fontId="6" fillId="0" borderId="0" xfId="0" applyFont="1"/>
    <xf numFmtId="0" fontId="7" fillId="0" borderId="0" xfId="0" applyFont="1"/>
    <xf numFmtId="166" fontId="0" fillId="0" borderId="1" xfId="1" applyNumberFormat="1" applyFont="1" applyBorder="1"/>
    <xf numFmtId="166" fontId="8" fillId="0" borderId="1" xfId="1" applyNumberFormat="1" applyFont="1" applyBorder="1"/>
    <xf numFmtId="166" fontId="9" fillId="0" borderId="1" xfId="1" applyNumberFormat="1" applyFont="1" applyBorder="1"/>
    <xf numFmtId="165" fontId="8" fillId="0" borderId="1" xfId="0" applyNumberFormat="1" applyFont="1" applyBorder="1"/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/>
    <xf numFmtId="166" fontId="12" fillId="0" borderId="1" xfId="1" applyNumberFormat="1" applyFont="1" applyBorder="1"/>
    <xf numFmtId="165" fontId="13" fillId="0" borderId="1" xfId="0" applyNumberFormat="1" applyFont="1" applyBorder="1"/>
    <xf numFmtId="0" fontId="15" fillId="0" borderId="0" xfId="0" applyFont="1"/>
    <xf numFmtId="167" fontId="12" fillId="0" borderId="0" xfId="1" quotePrefix="1" applyNumberFormat="1" applyFont="1" applyFill="1" applyBorder="1"/>
    <xf numFmtId="166" fontId="12" fillId="0" borderId="0" xfId="0" applyNumberFormat="1" applyFont="1"/>
    <xf numFmtId="166" fontId="12" fillId="0" borderId="0" xfId="1" quotePrefix="1" applyNumberFormat="1" applyFont="1" applyFill="1" applyBorder="1"/>
    <xf numFmtId="165" fontId="16" fillId="0" borderId="1" xfId="0" applyNumberFormat="1" applyFont="1" applyBorder="1"/>
    <xf numFmtId="166" fontId="14" fillId="0" borderId="0" xfId="1" applyNumberFormat="1" applyFont="1" applyFill="1" applyBorder="1"/>
    <xf numFmtId="0" fontId="14" fillId="0" borderId="2" xfId="0" applyFont="1" applyBorder="1"/>
    <xf numFmtId="166" fontId="14" fillId="0" borderId="2" xfId="1" applyNumberFormat="1" applyFont="1" applyFill="1" applyBorder="1"/>
    <xf numFmtId="0" fontId="0" fillId="0" borderId="0" xfId="0" applyAlignment="1">
      <alignment textRotation="45"/>
    </xf>
    <xf numFmtId="0" fontId="5" fillId="0" borderId="0" xfId="0" applyFont="1" applyAlignment="1">
      <alignment horizontal="center" vertical="center" textRotation="45"/>
    </xf>
    <xf numFmtId="166" fontId="18" fillId="0" borderId="1" xfId="1" applyNumberFormat="1" applyFont="1" applyBorder="1"/>
    <xf numFmtId="0" fontId="17" fillId="2" borderId="2" xfId="0" applyFont="1" applyFill="1" applyBorder="1" applyAlignment="1">
      <alignment horizontal="center" vertical="center"/>
    </xf>
    <xf numFmtId="0" fontId="19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13</xdr:row>
      <xdr:rowOff>91440</xdr:rowOff>
    </xdr:from>
    <xdr:to>
      <xdr:col>1</xdr:col>
      <xdr:colOff>617220</xdr:colOff>
      <xdr:row>15</xdr:row>
      <xdr:rowOff>106680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xmlns="" id="{7362EAE6-82DF-42EC-B894-AAD88FAE5B12}"/>
            </a:ext>
          </a:extLst>
        </xdr:cNvPr>
        <xdr:cNvSpPr>
          <a:spLocks/>
        </xdr:cNvSpPr>
      </xdr:nvSpPr>
      <xdr:spPr bwMode="auto">
        <a:xfrm>
          <a:off x="144780" y="2956560"/>
          <a:ext cx="1082040" cy="381000"/>
        </a:xfrm>
        <a:prstGeom prst="borderCallout1">
          <a:avLst>
            <a:gd name="adj1" fmla="val 30769"/>
            <a:gd name="adj2" fmla="val 107273"/>
            <a:gd name="adj3" fmla="val -146153"/>
            <a:gd name="adj4" fmla="val 16272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t-PT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8% DO SALÁRIO BRUTO</a:t>
          </a:r>
        </a:p>
      </xdr:txBody>
    </xdr:sp>
    <xdr:clientData/>
  </xdr:twoCellAnchor>
  <xdr:twoCellAnchor>
    <xdr:from>
      <xdr:col>1</xdr:col>
      <xdr:colOff>800100</xdr:colOff>
      <xdr:row>15</xdr:row>
      <xdr:rowOff>0</xdr:rowOff>
    </xdr:from>
    <xdr:to>
      <xdr:col>3</xdr:col>
      <xdr:colOff>182880</xdr:colOff>
      <xdr:row>17</xdr:row>
      <xdr:rowOff>22860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xmlns="" id="{2DF67639-DB1B-4B0E-B98B-8F17145D207C}"/>
            </a:ext>
          </a:extLst>
        </xdr:cNvPr>
        <xdr:cNvSpPr>
          <a:spLocks/>
        </xdr:cNvSpPr>
      </xdr:nvSpPr>
      <xdr:spPr bwMode="auto">
        <a:xfrm>
          <a:off x="1409700" y="3230880"/>
          <a:ext cx="1082040" cy="388620"/>
        </a:xfrm>
        <a:prstGeom prst="borderCallout1">
          <a:avLst>
            <a:gd name="adj1" fmla="val 30769"/>
            <a:gd name="adj2" fmla="val 107273"/>
            <a:gd name="adj3" fmla="val -215384"/>
            <a:gd name="adj4" fmla="val 12636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t-PT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7% DO SALÁRIO BRUTO</a:t>
          </a:r>
        </a:p>
      </xdr:txBody>
    </xdr:sp>
    <xdr:clientData/>
  </xdr:twoCellAnchor>
  <xdr:twoCellAnchor>
    <xdr:from>
      <xdr:col>2</xdr:col>
      <xdr:colOff>487680</xdr:colOff>
      <xdr:row>17</xdr:row>
      <xdr:rowOff>106680</xdr:rowOff>
    </xdr:from>
    <xdr:to>
      <xdr:col>4</xdr:col>
      <xdr:colOff>45720</xdr:colOff>
      <xdr:row>19</xdr:row>
      <xdr:rowOff>129540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xmlns="" id="{7392EADB-F0DF-45D8-BA21-5D969D55954A}"/>
            </a:ext>
          </a:extLst>
        </xdr:cNvPr>
        <xdr:cNvSpPr>
          <a:spLocks/>
        </xdr:cNvSpPr>
      </xdr:nvSpPr>
      <xdr:spPr bwMode="auto">
        <a:xfrm>
          <a:off x="2019300" y="3703320"/>
          <a:ext cx="1143000" cy="388620"/>
        </a:xfrm>
        <a:prstGeom prst="borderCallout1">
          <a:avLst>
            <a:gd name="adj1" fmla="val 30769"/>
            <a:gd name="adj2" fmla="val 106898"/>
            <a:gd name="adj3" fmla="val -341028"/>
            <a:gd name="adj4" fmla="val 12931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t-PT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15% DO SALÁRIO BRUTO</a:t>
          </a:r>
        </a:p>
      </xdr:txBody>
    </xdr:sp>
    <xdr:clientData/>
  </xdr:twoCellAnchor>
  <xdr:twoCellAnchor>
    <xdr:from>
      <xdr:col>3</xdr:col>
      <xdr:colOff>586740</xdr:colOff>
      <xdr:row>20</xdr:row>
      <xdr:rowOff>76200</xdr:rowOff>
    </xdr:from>
    <xdr:to>
      <xdr:col>5</xdr:col>
      <xdr:colOff>167640</xdr:colOff>
      <xdr:row>22</xdr:row>
      <xdr:rowOff>91440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xmlns="" id="{D232AA85-D23C-460B-A818-11150CC4A8AA}"/>
            </a:ext>
          </a:extLst>
        </xdr:cNvPr>
        <xdr:cNvSpPr>
          <a:spLocks/>
        </xdr:cNvSpPr>
      </xdr:nvSpPr>
      <xdr:spPr bwMode="auto">
        <a:xfrm>
          <a:off x="2895600" y="4221480"/>
          <a:ext cx="1135380" cy="381000"/>
        </a:xfrm>
        <a:prstGeom prst="borderCallout1">
          <a:avLst>
            <a:gd name="adj1" fmla="val 30769"/>
            <a:gd name="adj2" fmla="val 106898"/>
            <a:gd name="adj3" fmla="val -474361"/>
            <a:gd name="adj4" fmla="val 14569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 type="triangle" w="med" len="med"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t-PT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6% DO SALÁRIO BRUTO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>
      <selection activeCell="A17" sqref="A17"/>
    </sheetView>
  </sheetViews>
  <sheetFormatPr defaultRowHeight="15"/>
  <cols>
    <col min="1" max="1" width="36.42578125" customWidth="1"/>
    <col min="2" max="2" width="26" customWidth="1"/>
    <col min="3" max="3" width="24.7109375" customWidth="1"/>
  </cols>
  <sheetData>
    <row r="1" spans="1:4" ht="16.5">
      <c r="A1" s="3"/>
      <c r="B1" s="3"/>
      <c r="C1" s="4"/>
    </row>
    <row r="2" spans="1:4" ht="15.75" thickBot="1">
      <c r="A2" s="25"/>
      <c r="B2" s="25"/>
      <c r="C2" s="25"/>
    </row>
    <row r="3" spans="1:4" ht="26.25" thickBot="1">
      <c r="A3" s="27" t="s">
        <v>16</v>
      </c>
      <c r="B3" s="27" t="s">
        <v>17</v>
      </c>
      <c r="C3" s="27" t="s">
        <v>18</v>
      </c>
    </row>
    <row r="4" spans="1:4" ht="26.25" thickBot="1">
      <c r="A4" s="22" t="s">
        <v>19</v>
      </c>
      <c r="B4" s="23">
        <v>750</v>
      </c>
      <c r="C4" s="23">
        <v>15</v>
      </c>
      <c r="D4" s="24"/>
    </row>
    <row r="5" spans="1:4" ht="26.25" thickBot="1">
      <c r="A5" s="22" t="s">
        <v>20</v>
      </c>
      <c r="B5" s="23">
        <v>900</v>
      </c>
      <c r="C5" s="23">
        <v>15</v>
      </c>
    </row>
    <row r="6" spans="1:4" ht="26.25" thickBot="1">
      <c r="A6" s="22" t="s">
        <v>21</v>
      </c>
      <c r="B6" s="23">
        <v>1000</v>
      </c>
      <c r="C6" s="23">
        <v>15</v>
      </c>
    </row>
    <row r="7" spans="1:4" ht="26.25" thickBot="1">
      <c r="A7" s="22" t="s">
        <v>22</v>
      </c>
      <c r="B7" s="23">
        <v>400</v>
      </c>
      <c r="C7" s="23">
        <v>10</v>
      </c>
    </row>
    <row r="8" spans="1:4" ht="26.25" thickBot="1">
      <c r="A8" s="22" t="s">
        <v>23</v>
      </c>
      <c r="B8" s="23">
        <v>1700</v>
      </c>
      <c r="C8" s="23">
        <v>20</v>
      </c>
    </row>
    <row r="9" spans="1:4">
      <c r="A9" s="5"/>
      <c r="B9" s="5"/>
      <c r="C9" s="5"/>
    </row>
    <row r="10" spans="1:4" ht="23.25">
      <c r="A10" s="16" t="s">
        <v>24</v>
      </c>
      <c r="B10" s="17">
        <f>SUM(B4,B5,B6,B7,B8)</f>
        <v>4750</v>
      </c>
      <c r="C10" s="18"/>
    </row>
    <row r="11" spans="1:4" ht="23.25">
      <c r="A11" s="16" t="s">
        <v>25</v>
      </c>
      <c r="B11" s="19">
        <f>B10/5</f>
        <v>950</v>
      </c>
      <c r="C11" s="18"/>
    </row>
    <row r="12" spans="1:4" ht="25.5">
      <c r="A12" s="16" t="s">
        <v>26</v>
      </c>
      <c r="B12" s="21">
        <v>1700</v>
      </c>
      <c r="C12" s="18"/>
    </row>
    <row r="13" spans="1:4" ht="25.5">
      <c r="A13" s="16" t="s">
        <v>27</v>
      </c>
      <c r="B13" s="21">
        <v>400</v>
      </c>
      <c r="C13" s="18"/>
    </row>
    <row r="14" spans="1:4" ht="23.25">
      <c r="A14" s="16" t="s">
        <v>28</v>
      </c>
      <c r="B14" s="19">
        <f>SUM(C4,C5,C6,C7,C8)</f>
        <v>75</v>
      </c>
      <c r="C14" s="18"/>
    </row>
    <row r="15" spans="1:4" ht="23.25">
      <c r="A15" s="16" t="s">
        <v>29</v>
      </c>
      <c r="B15" s="19">
        <f>B14/5</f>
        <v>15</v>
      </c>
      <c r="C15" s="18"/>
    </row>
    <row r="16" spans="1:4">
      <c r="A16" s="6"/>
      <c r="B16" s="6"/>
      <c r="C16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>
      <selection activeCell="F12" sqref="F12"/>
    </sheetView>
  </sheetViews>
  <sheetFormatPr defaultRowHeight="15"/>
  <cols>
    <col min="1" max="1" width="31.7109375" customWidth="1"/>
    <col min="2" max="2" width="27.7109375" customWidth="1"/>
    <col min="3" max="3" width="24" customWidth="1"/>
    <col min="4" max="4" width="23" customWidth="1"/>
    <col min="5" max="5" width="24.28515625" customWidth="1"/>
    <col min="6" max="6" width="23.85546875" customWidth="1"/>
    <col min="7" max="7" width="26.140625" customWidth="1"/>
    <col min="9" max="9" width="28.28515625" customWidth="1"/>
  </cols>
  <sheetData>
    <row r="1" spans="1:9" ht="46.5">
      <c r="A1" s="12" t="s">
        <v>0</v>
      </c>
      <c r="B1" s="12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9" ht="25.5">
      <c r="A2" s="13" t="s">
        <v>1</v>
      </c>
      <c r="B2" s="14">
        <v>1100</v>
      </c>
      <c r="C2" s="9">
        <f>B2*8%</f>
        <v>88</v>
      </c>
      <c r="D2" s="9">
        <f>B2*7%</f>
        <v>77.000000000000014</v>
      </c>
      <c r="E2" s="9">
        <f>B2*15%</f>
        <v>165</v>
      </c>
      <c r="F2" s="9">
        <f>B2*6%</f>
        <v>66</v>
      </c>
      <c r="G2" s="11">
        <f>SUM(C2,D2,E2,F2)-B2</f>
        <v>-704</v>
      </c>
    </row>
    <row r="3" spans="1:9" ht="25.5">
      <c r="A3" s="13" t="s">
        <v>2</v>
      </c>
      <c r="B3" s="14">
        <v>660</v>
      </c>
      <c r="C3" s="9">
        <f>B3*8%</f>
        <v>52.800000000000004</v>
      </c>
      <c r="D3" s="9">
        <f>B3*7%</f>
        <v>46.2</v>
      </c>
      <c r="E3" s="9">
        <f>B3*15%</f>
        <v>99</v>
      </c>
      <c r="F3" s="9">
        <f>B3*6%</f>
        <v>39.6</v>
      </c>
      <c r="G3" s="11">
        <f>SUM(C3,D3,E3,F3)-660</f>
        <v>-422.4</v>
      </c>
    </row>
    <row r="4" spans="1:9" ht="25.5">
      <c r="A4" s="13" t="s">
        <v>3</v>
      </c>
      <c r="B4" s="14">
        <v>990</v>
      </c>
      <c r="C4" s="9">
        <f>B4*8%</f>
        <v>79.2</v>
      </c>
      <c r="D4" s="9">
        <f>B4*7%</f>
        <v>69.300000000000011</v>
      </c>
      <c r="E4" s="9">
        <f>B4*15%</f>
        <v>148.5</v>
      </c>
      <c r="F4" s="9">
        <f>B4*6%</f>
        <v>59.4</v>
      </c>
      <c r="G4" s="11">
        <f>SUM(C4,D4,E4,F4)-990</f>
        <v>-633.6</v>
      </c>
    </row>
    <row r="5" spans="1:9" ht="25.5">
      <c r="A5" s="13" t="s">
        <v>4</v>
      </c>
      <c r="B5" s="14">
        <v>3000</v>
      </c>
      <c r="C5" s="9">
        <f>B5*8%</f>
        <v>240</v>
      </c>
      <c r="D5" s="9">
        <f>B5*7%</f>
        <v>210.00000000000003</v>
      </c>
      <c r="E5" s="9">
        <f>B5*15%</f>
        <v>450</v>
      </c>
      <c r="F5" s="9">
        <f>B5*6%</f>
        <v>180</v>
      </c>
      <c r="G5" s="11">
        <f>SUM(C5,D5,E5,F5)-B5</f>
        <v>-1920</v>
      </c>
    </row>
    <row r="6" spans="1:9" ht="25.5">
      <c r="A6" s="13" t="s">
        <v>5</v>
      </c>
      <c r="B6" s="14">
        <v>1620</v>
      </c>
      <c r="C6" s="9">
        <f>B6*8%</f>
        <v>129.6</v>
      </c>
      <c r="D6" s="9">
        <f>B6*7%</f>
        <v>113.4</v>
      </c>
      <c r="E6" s="9">
        <f>B6*15%</f>
        <v>243</v>
      </c>
      <c r="F6" s="9">
        <f>B6*6%</f>
        <v>97.2</v>
      </c>
      <c r="G6" s="11">
        <f>SUM(C6,D6,E6,F6)-B6</f>
        <v>-1036.8</v>
      </c>
    </row>
    <row r="7" spans="1:9" ht="28.5">
      <c r="A7" s="13" t="s">
        <v>6</v>
      </c>
      <c r="B7" s="14">
        <v>2200</v>
      </c>
      <c r="C7" s="9">
        <f>B7*8%</f>
        <v>176</v>
      </c>
      <c r="D7" s="9">
        <f>B7*7%</f>
        <v>154.00000000000003</v>
      </c>
      <c r="E7" s="9">
        <f>B7*15%</f>
        <v>330</v>
      </c>
      <c r="F7" s="9">
        <f>B7*6%</f>
        <v>132</v>
      </c>
      <c r="G7" s="11">
        <f>SUM(C7,D7,E7,F7)-B7</f>
        <v>-1408</v>
      </c>
      <c r="I7" s="7"/>
    </row>
    <row r="8" spans="1:9" ht="25.5">
      <c r="A8" s="13" t="s">
        <v>7</v>
      </c>
      <c r="B8" s="14">
        <v>2400</v>
      </c>
      <c r="C8" s="9">
        <f>B8*8%</f>
        <v>192</v>
      </c>
      <c r="D8" s="9">
        <f>B8*7%</f>
        <v>168.00000000000003</v>
      </c>
      <c r="E8" s="9">
        <f>B8*15%</f>
        <v>360</v>
      </c>
      <c r="F8" s="9">
        <f>B8*6%</f>
        <v>144</v>
      </c>
      <c r="G8" s="11">
        <f>SUM(C8,D8,E8,F8)-B8</f>
        <v>-1536</v>
      </c>
    </row>
    <row r="9" spans="1:9" ht="25.5">
      <c r="A9" s="13" t="s">
        <v>8</v>
      </c>
      <c r="B9" s="14">
        <v>1520</v>
      </c>
      <c r="C9" s="9">
        <f>B9*8%</f>
        <v>121.60000000000001</v>
      </c>
      <c r="D9" s="9">
        <f>B9*7%</f>
        <v>106.4</v>
      </c>
      <c r="E9" s="9">
        <f>B9*15%</f>
        <v>228</v>
      </c>
      <c r="F9" s="9">
        <f>B9*6%</f>
        <v>91.2</v>
      </c>
      <c r="G9" s="11">
        <f>SUM(C9,D9,E9,F9)-B9</f>
        <v>-972.8</v>
      </c>
    </row>
    <row r="10" spans="1:9" ht="26.25">
      <c r="A10" s="13"/>
      <c r="B10" s="13"/>
      <c r="C10" s="10"/>
      <c r="D10" s="8"/>
      <c r="E10" s="8"/>
      <c r="F10" s="26"/>
      <c r="G10" s="2"/>
    </row>
    <row r="11" spans="1:9" ht="26.25">
      <c r="A11" s="12" t="s">
        <v>15</v>
      </c>
      <c r="B11" s="15">
        <f>SUM(B2:B9)</f>
        <v>13490</v>
      </c>
      <c r="C11" s="11">
        <f>SUM(C2:C9)</f>
        <v>1079.2</v>
      </c>
      <c r="D11" s="11">
        <f>SUM(D2:D9)</f>
        <v>944.30000000000007</v>
      </c>
      <c r="E11" s="11">
        <f>SUM(E2:E9)</f>
        <v>2023.5</v>
      </c>
      <c r="F11" s="11">
        <f>SUM(F2:F9)</f>
        <v>809.40000000000009</v>
      </c>
      <c r="G11" s="20">
        <f>SUM(G2:G9)</f>
        <v>-8633.6</v>
      </c>
    </row>
    <row r="12" spans="1:9">
      <c r="F12" s="2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CONTRIBUIÇÃO</vt:lpstr>
      <vt:lpstr>SALÁRIO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Daiane</dc:creator>
  <cp:lastModifiedBy>Usuario</cp:lastModifiedBy>
  <dcterms:created xsi:type="dcterms:W3CDTF">2020-08-18T20:27:42Z</dcterms:created>
  <dcterms:modified xsi:type="dcterms:W3CDTF">2023-04-28T11:39:44Z</dcterms:modified>
</cp:coreProperties>
</file>